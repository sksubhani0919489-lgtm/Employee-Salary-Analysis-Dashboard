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20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DCEF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'Summary'!$D$1:$C$1</f>
            </numRef>
          </val>
        </ser>
        <ser>
          <idx val="1"/>
          <order val="1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'Summary'!$E$1:$D$1</f>
            </numRef>
          </val>
        </ser>
        <ser>
          <idx val="2"/>
          <order val="2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'Summary'!$F$1:$E$1</f>
            </numRef>
          </val>
        </ser>
        <ser>
          <idx val="3"/>
          <order val="3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'Summary'!$G$1:$F$1</f>
            </numRef>
          </val>
        </ser>
        <ser>
          <idx val="4"/>
          <order val="4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'Summary'!$H$1:$G$1</f>
            </numRef>
          </val>
        </ser>
        <ser>
          <idx val="5"/>
          <order val="5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'Summary'!$I$1:$H$1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'Summary'!$E$1:$D$1</f>
            </numRef>
          </val>
        </ser>
        <ser>
          <idx val="1"/>
          <order val="1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'Summary'!$F$1:$E$1</f>
            </numRef>
          </val>
        </ser>
        <ser>
          <idx val="2"/>
          <order val="2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'Summary'!$G$1:$F$1</f>
            </numRef>
          </val>
        </ser>
        <ser>
          <idx val="3"/>
          <order val="3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'Summary'!$H$1:$G$1</f>
            </numRef>
          </val>
        </ser>
        <ser>
          <idx val="4"/>
          <order val="4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'Summary'!$I$1:$H$1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" t="inlineStr">
        <is>
          <t>EMPLOYEE SALARY ANALYSIS DASHBOARD</t>
        </is>
      </c>
    </row>
    <row r="2"/>
    <row r="4">
      <c r="A4" s="2" t="inlineStr">
        <is>
          <t>Project</t>
        </is>
      </c>
      <c r="B4" t="inlineStr">
        <is>
          <t>Employee Salary Analysis Dashboard</t>
        </is>
      </c>
    </row>
    <row r="5">
      <c r="A5" s="2" t="inlineStr">
        <is>
          <t>Objective</t>
        </is>
      </c>
      <c r="B5" t="inlineStr">
        <is>
          <t>Analyze employee salary patterns and department-wise salary distribution.</t>
        </is>
      </c>
    </row>
    <row r="6">
      <c r="A6" s="2" t="inlineStr">
        <is>
          <t>Tools</t>
        </is>
      </c>
      <c r="B6" t="inlineStr">
        <is>
          <t>Microsoft Excel, formulas, summary analysis and charts</t>
        </is>
      </c>
    </row>
    <row r="7">
      <c r="A7" s="2" t="inlineStr">
        <is>
          <t>KPIs</t>
        </is>
      </c>
      <c r="B7" t="inlineStr">
        <is>
          <t>Total Employees, Total Salary, Average Salary, Highest Salary, Lowest Salary</t>
        </is>
      </c>
    </row>
    <row r="8">
      <c r="A8" s="2" t="inlineStr">
        <is>
          <t>Business Analysis</t>
        </is>
      </c>
      <c r="B8" t="inlineStr">
        <is>
          <t>Department-wise salary comparison and workforce insights</t>
        </is>
      </c>
    </row>
    <row r="9">
      <c r="A9" s="2" t="inlineStr">
        <is>
          <t>Portfolio Output</t>
        </is>
      </c>
      <c r="B9" t="inlineStr">
        <is>
          <t>Professional Excel dashboard suitable for resume/GitHub/LinkedIn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5" customWidth="1" min="3" max="3"/>
    <col width="18" customWidth="1" min="4" max="4"/>
  </cols>
  <sheetData>
    <row r="1">
      <c r="A1" s="3" t="inlineStr">
        <is>
          <t>Employee Name</t>
        </is>
      </c>
      <c r="B1" s="3" t="inlineStr">
        <is>
          <t>Department</t>
        </is>
      </c>
      <c r="C1" s="3" t="inlineStr">
        <is>
          <t>Designation</t>
        </is>
      </c>
      <c r="D1" s="3" t="inlineStr">
        <is>
          <t>Salary (₹)</t>
        </is>
      </c>
    </row>
    <row r="2">
      <c r="A2" t="inlineStr">
        <is>
          <t>Amit Kumar</t>
        </is>
      </c>
      <c r="B2" t="inlineStr">
        <is>
          <t>IT</t>
        </is>
      </c>
      <c r="C2" t="inlineStr">
        <is>
          <t>Director</t>
        </is>
      </c>
      <c r="D2" s="4" t="n">
        <v>1500000</v>
      </c>
    </row>
    <row r="3">
      <c r="A3" t="inlineStr">
        <is>
          <t>Priya Sharma</t>
        </is>
      </c>
      <c r="B3" t="inlineStr">
        <is>
          <t>IT</t>
        </is>
      </c>
      <c r="C3" t="inlineStr">
        <is>
          <t>Engineering Manager</t>
        </is>
      </c>
      <c r="D3" s="4" t="n">
        <v>1250000</v>
      </c>
    </row>
    <row r="4">
      <c r="A4" t="inlineStr">
        <is>
          <t>Rahul Verma</t>
        </is>
      </c>
      <c r="B4" t="inlineStr">
        <is>
          <t>Finance</t>
        </is>
      </c>
      <c r="C4" t="inlineStr">
        <is>
          <t>Finance Manager</t>
        </is>
      </c>
      <c r="D4" s="4" t="n">
        <v>1000000</v>
      </c>
    </row>
    <row r="5">
      <c r="A5" t="inlineStr">
        <is>
          <t>Neha Singh</t>
        </is>
      </c>
      <c r="B5" t="inlineStr">
        <is>
          <t>Operations</t>
        </is>
      </c>
      <c r="C5" t="inlineStr">
        <is>
          <t>Operations Manager</t>
        </is>
      </c>
      <c r="D5" s="4" t="n">
        <v>950000</v>
      </c>
    </row>
    <row r="6">
      <c r="A6" t="inlineStr">
        <is>
          <t>Vikram Patel</t>
        </is>
      </c>
      <c r="B6" t="inlineStr">
        <is>
          <t>Sales</t>
        </is>
      </c>
      <c r="C6" t="inlineStr">
        <is>
          <t>Sales Manager</t>
        </is>
      </c>
      <c r="D6" s="4" t="n">
        <v>900000</v>
      </c>
    </row>
    <row r="7">
      <c r="A7" t="inlineStr">
        <is>
          <t>Anjali Rao</t>
        </is>
      </c>
      <c r="B7" t="inlineStr">
        <is>
          <t>IT</t>
        </is>
      </c>
      <c r="C7" t="inlineStr">
        <is>
          <t>Senior Developer</t>
        </is>
      </c>
      <c r="D7" s="4" t="n">
        <v>850000</v>
      </c>
    </row>
    <row r="8">
      <c r="A8" t="inlineStr">
        <is>
          <t>Suresh Kumar</t>
        </is>
      </c>
      <c r="B8" t="inlineStr">
        <is>
          <t>Sales</t>
        </is>
      </c>
      <c r="C8" t="inlineStr">
        <is>
          <t>Senior Executive</t>
        </is>
      </c>
      <c r="D8" s="4" t="n">
        <v>800000</v>
      </c>
    </row>
    <row r="9">
      <c r="A9" t="inlineStr">
        <is>
          <t>Pooja Reddy</t>
        </is>
      </c>
      <c r="B9" t="inlineStr">
        <is>
          <t>Finance</t>
        </is>
      </c>
      <c r="C9" t="inlineStr">
        <is>
          <t>Senior Analyst</t>
        </is>
      </c>
      <c r="D9" s="4" t="n">
        <v>780000</v>
      </c>
    </row>
    <row r="10">
      <c r="A10" t="inlineStr">
        <is>
          <t>Kiran Das</t>
        </is>
      </c>
      <c r="B10" t="inlineStr">
        <is>
          <t>Operations</t>
        </is>
      </c>
      <c r="C10" t="inlineStr">
        <is>
          <t>Team Lead</t>
        </is>
      </c>
      <c r="D10" s="4" t="n">
        <v>760000</v>
      </c>
    </row>
    <row r="11">
      <c r="A11" t="inlineStr">
        <is>
          <t>Meena Devi</t>
        </is>
      </c>
      <c r="B11" t="inlineStr">
        <is>
          <t>Marketing</t>
        </is>
      </c>
      <c r="C11" t="inlineStr">
        <is>
          <t>Marketing Manager</t>
        </is>
      </c>
      <c r="D11" s="4" t="n">
        <v>750000</v>
      </c>
    </row>
    <row r="12">
      <c r="A12" t="inlineStr">
        <is>
          <t>Arjun Rao</t>
        </is>
      </c>
      <c r="B12" t="inlineStr">
        <is>
          <t>IT</t>
        </is>
      </c>
      <c r="C12" t="inlineStr">
        <is>
          <t>Developer</t>
        </is>
      </c>
      <c r="D12" s="4" t="n">
        <v>720000</v>
      </c>
    </row>
    <row r="13">
      <c r="A13" t="inlineStr">
        <is>
          <t>Sneha Patel</t>
        </is>
      </c>
      <c r="B13" t="inlineStr">
        <is>
          <t>Sales</t>
        </is>
      </c>
      <c r="C13" t="inlineStr">
        <is>
          <t>Executive</t>
        </is>
      </c>
      <c r="D13" s="4" t="n">
        <v>700000</v>
      </c>
    </row>
    <row r="14">
      <c r="A14" t="inlineStr">
        <is>
          <t>Ravi Kumar</t>
        </is>
      </c>
      <c r="B14" t="inlineStr">
        <is>
          <t>Operations</t>
        </is>
      </c>
      <c r="C14" t="inlineStr">
        <is>
          <t>Analyst</t>
        </is>
      </c>
      <c r="D14" s="4" t="n">
        <v>680000</v>
      </c>
    </row>
    <row r="15">
      <c r="A15" t="inlineStr">
        <is>
          <t>Divya Singh</t>
        </is>
      </c>
      <c r="B15" t="inlineStr">
        <is>
          <t>Finance</t>
        </is>
      </c>
      <c r="C15" t="inlineStr">
        <is>
          <t>Analyst</t>
        </is>
      </c>
      <c r="D15" s="4" t="n">
        <v>660000</v>
      </c>
    </row>
    <row r="16">
      <c r="A16" t="inlineStr">
        <is>
          <t>Nikhil Sharma</t>
        </is>
      </c>
      <c r="B16" t="inlineStr">
        <is>
          <t>Marketing</t>
        </is>
      </c>
      <c r="C16" t="inlineStr">
        <is>
          <t>Executive</t>
        </is>
      </c>
      <c r="D16" s="4" t="n">
        <v>640000</v>
      </c>
    </row>
    <row r="17">
      <c r="A17" t="inlineStr">
        <is>
          <t>Lakshmi Rao</t>
        </is>
      </c>
      <c r="B17" t="inlineStr">
        <is>
          <t>IT</t>
        </is>
      </c>
      <c r="C17" t="inlineStr">
        <is>
          <t>Developer</t>
        </is>
      </c>
      <c r="D17" s="4" t="n">
        <v>620000</v>
      </c>
    </row>
    <row r="18">
      <c r="A18" t="inlineStr">
        <is>
          <t>Manoj Kumar</t>
        </is>
      </c>
      <c r="B18" t="inlineStr">
        <is>
          <t>Sales</t>
        </is>
      </c>
      <c r="C18" t="inlineStr">
        <is>
          <t>Executive</t>
        </is>
      </c>
      <c r="D18" s="4" t="n">
        <v>600000</v>
      </c>
    </row>
    <row r="19">
      <c r="A19" t="inlineStr">
        <is>
          <t>Swathi Reddy</t>
        </is>
      </c>
      <c r="B19" t="inlineStr">
        <is>
          <t>Operations</t>
        </is>
      </c>
      <c r="C19" t="inlineStr">
        <is>
          <t>Analyst</t>
        </is>
      </c>
      <c r="D19" s="4" t="n">
        <v>590000</v>
      </c>
    </row>
    <row r="20">
      <c r="A20" t="inlineStr">
        <is>
          <t>Vijay Patel</t>
        </is>
      </c>
      <c r="B20" t="inlineStr">
        <is>
          <t>Finance</t>
        </is>
      </c>
      <c r="C20" t="inlineStr">
        <is>
          <t>Analyst</t>
        </is>
      </c>
      <c r="D20" s="4" t="n">
        <v>580000</v>
      </c>
    </row>
    <row r="21">
      <c r="A21" t="inlineStr">
        <is>
          <t>Harsha Das</t>
        </is>
      </c>
      <c r="B21" t="inlineStr">
        <is>
          <t>Marketing</t>
        </is>
      </c>
      <c r="C21" t="inlineStr">
        <is>
          <t>Executive</t>
        </is>
      </c>
      <c r="D21" s="4" t="n">
        <v>560000</v>
      </c>
    </row>
    <row r="22">
      <c r="A22" t="inlineStr">
        <is>
          <t>Sanjay Rao</t>
        </is>
      </c>
      <c r="B22" t="inlineStr">
        <is>
          <t>IT</t>
        </is>
      </c>
      <c r="C22" t="inlineStr">
        <is>
          <t>Developer</t>
        </is>
      </c>
      <c r="D22" s="4" t="n">
        <v>550000</v>
      </c>
    </row>
    <row r="23">
      <c r="A23" t="inlineStr">
        <is>
          <t>Kavya Singh</t>
        </is>
      </c>
      <c r="B23" t="inlineStr">
        <is>
          <t>Sales</t>
        </is>
      </c>
      <c r="C23" t="inlineStr">
        <is>
          <t>Executive</t>
        </is>
      </c>
      <c r="D23" s="4" t="n">
        <v>540000</v>
      </c>
    </row>
    <row r="24">
      <c r="A24" t="inlineStr">
        <is>
          <t>Ramesh Kumar</t>
        </is>
      </c>
      <c r="B24" t="inlineStr">
        <is>
          <t>Operations</t>
        </is>
      </c>
      <c r="C24" t="inlineStr">
        <is>
          <t>Analyst</t>
        </is>
      </c>
      <c r="D24" s="4" t="n">
        <v>530000</v>
      </c>
    </row>
    <row r="25">
      <c r="A25" t="inlineStr">
        <is>
          <t>Asha Patel</t>
        </is>
      </c>
      <c r="B25" t="inlineStr">
        <is>
          <t>Finance</t>
        </is>
      </c>
      <c r="C25" t="inlineStr">
        <is>
          <t>Analyst</t>
        </is>
      </c>
      <c r="D25" s="4" t="n">
        <v>520000</v>
      </c>
    </row>
    <row r="26">
      <c r="A26" t="inlineStr">
        <is>
          <t>Rohit Sharma</t>
        </is>
      </c>
      <c r="B26" t="inlineStr">
        <is>
          <t>Marketing</t>
        </is>
      </c>
      <c r="C26" t="inlineStr">
        <is>
          <t>Executive</t>
        </is>
      </c>
      <c r="D26" s="4" t="n">
        <v>510000</v>
      </c>
    </row>
    <row r="27">
      <c r="A27" t="inlineStr">
        <is>
          <t>Sita Rao</t>
        </is>
      </c>
      <c r="B27" t="inlineStr">
        <is>
          <t>IT</t>
        </is>
      </c>
      <c r="C27" t="inlineStr">
        <is>
          <t>Developer</t>
        </is>
      </c>
      <c r="D27" s="4" t="n">
        <v>500000</v>
      </c>
    </row>
    <row r="28">
      <c r="A28" t="inlineStr">
        <is>
          <t>Ganesh Kumar</t>
        </is>
      </c>
      <c r="B28" t="inlineStr">
        <is>
          <t>Sales</t>
        </is>
      </c>
      <c r="C28" t="inlineStr">
        <is>
          <t>Executive</t>
        </is>
      </c>
      <c r="D28" s="4" t="n">
        <v>490000</v>
      </c>
    </row>
    <row r="29">
      <c r="A29" t="inlineStr">
        <is>
          <t>Naveen Reddy</t>
        </is>
      </c>
      <c r="B29" t="inlineStr">
        <is>
          <t>Operations</t>
        </is>
      </c>
      <c r="C29" t="inlineStr">
        <is>
          <t>Analyst</t>
        </is>
      </c>
      <c r="D29" s="4" t="n">
        <v>480000</v>
      </c>
    </row>
    <row r="30">
      <c r="A30" t="inlineStr">
        <is>
          <t>Swathi Kumar</t>
        </is>
      </c>
      <c r="B30" t="inlineStr">
        <is>
          <t>Finance</t>
        </is>
      </c>
      <c r="C30" t="inlineStr">
        <is>
          <t>Analyst</t>
        </is>
      </c>
      <c r="D30" s="4" t="n">
        <v>470000</v>
      </c>
    </row>
    <row r="31">
      <c r="A31" t="inlineStr">
        <is>
          <t>Ajay Patel</t>
        </is>
      </c>
      <c r="B31" t="inlineStr">
        <is>
          <t>Marketing</t>
        </is>
      </c>
      <c r="C31" t="inlineStr">
        <is>
          <t>Executive</t>
        </is>
      </c>
      <c r="D31" s="4" t="n">
        <v>460000</v>
      </c>
    </row>
    <row r="32">
      <c r="A32" t="inlineStr">
        <is>
          <t>Varun Singh</t>
        </is>
      </c>
      <c r="B32" t="inlineStr">
        <is>
          <t>IT</t>
        </is>
      </c>
      <c r="C32" t="inlineStr">
        <is>
          <t>Developer</t>
        </is>
      </c>
      <c r="D32" s="4" t="n">
        <v>450000</v>
      </c>
    </row>
    <row r="33">
      <c r="A33" t="inlineStr">
        <is>
          <t>Deepa Rao</t>
        </is>
      </c>
      <c r="B33" t="inlineStr">
        <is>
          <t>Sales</t>
        </is>
      </c>
      <c r="C33" t="inlineStr">
        <is>
          <t>Executive</t>
        </is>
      </c>
      <c r="D33" s="4" t="n">
        <v>440000</v>
      </c>
    </row>
    <row r="34">
      <c r="A34" t="inlineStr">
        <is>
          <t>Mahesh Kumar</t>
        </is>
      </c>
      <c r="B34" t="inlineStr">
        <is>
          <t>Operations</t>
        </is>
      </c>
      <c r="C34" t="inlineStr">
        <is>
          <t>Analyst</t>
        </is>
      </c>
      <c r="D34" s="4" t="n">
        <v>430000</v>
      </c>
    </row>
    <row r="35">
      <c r="A35" t="inlineStr">
        <is>
          <t>Rani Patel</t>
        </is>
      </c>
      <c r="B35" t="inlineStr">
        <is>
          <t>Finance</t>
        </is>
      </c>
      <c r="C35" t="inlineStr">
        <is>
          <t>Analyst</t>
        </is>
      </c>
      <c r="D35" s="4" t="n">
        <v>420000</v>
      </c>
    </row>
    <row r="36">
      <c r="A36" t="inlineStr">
        <is>
          <t>Tarun Sharma</t>
        </is>
      </c>
      <c r="B36" t="inlineStr">
        <is>
          <t>Marketing</t>
        </is>
      </c>
      <c r="C36" t="inlineStr">
        <is>
          <t>Executive</t>
        </is>
      </c>
      <c r="D36" s="4" t="n">
        <v>410000</v>
      </c>
    </row>
    <row r="37">
      <c r="A37" t="inlineStr">
        <is>
          <t>Ishita Rao</t>
        </is>
      </c>
      <c r="B37" t="inlineStr">
        <is>
          <t>IT</t>
        </is>
      </c>
      <c r="C37" t="inlineStr">
        <is>
          <t>Developer</t>
        </is>
      </c>
      <c r="D37" s="4" t="n">
        <v>400000</v>
      </c>
    </row>
    <row r="38">
      <c r="A38" t="inlineStr">
        <is>
          <t>Prakash Kumar</t>
        </is>
      </c>
      <c r="B38" t="inlineStr">
        <is>
          <t>Sales</t>
        </is>
      </c>
      <c r="C38" t="inlineStr">
        <is>
          <t>Executive</t>
        </is>
      </c>
      <c r="D38" s="4" t="n">
        <v>390000</v>
      </c>
    </row>
    <row r="39">
      <c r="A39" t="inlineStr">
        <is>
          <t>Nisha Reddy</t>
        </is>
      </c>
      <c r="B39" t="inlineStr">
        <is>
          <t>Operations</t>
        </is>
      </c>
      <c r="C39" t="inlineStr">
        <is>
          <t>Analyst</t>
        </is>
      </c>
      <c r="D39" s="4" t="n">
        <v>380000</v>
      </c>
    </row>
    <row r="40">
      <c r="A40" t="inlineStr">
        <is>
          <t>Karthik Patel</t>
        </is>
      </c>
      <c r="B40" t="inlineStr">
        <is>
          <t>Finance</t>
        </is>
      </c>
      <c r="C40" t="inlineStr">
        <is>
          <t>Analyst</t>
        </is>
      </c>
      <c r="D40" s="4" t="n">
        <v>370000</v>
      </c>
    </row>
    <row r="41">
      <c r="A41" t="inlineStr">
        <is>
          <t>Pallavi Singh</t>
        </is>
      </c>
      <c r="B41" t="inlineStr">
        <is>
          <t>Marketing</t>
        </is>
      </c>
      <c r="C41" t="inlineStr">
        <is>
          <t>Executive</t>
        </is>
      </c>
      <c r="D41" s="4" t="n">
        <v>360000</v>
      </c>
    </row>
    <row r="42">
      <c r="A42" t="inlineStr">
        <is>
          <t>Suresh Rao</t>
        </is>
      </c>
      <c r="B42" t="inlineStr">
        <is>
          <t>IT</t>
        </is>
      </c>
      <c r="C42" t="inlineStr">
        <is>
          <t>Developer</t>
        </is>
      </c>
      <c r="D42" s="4" t="n">
        <v>350000</v>
      </c>
    </row>
    <row r="43">
      <c r="A43" t="inlineStr">
        <is>
          <t>Madhavi Kumar</t>
        </is>
      </c>
      <c r="B43" t="inlineStr">
        <is>
          <t>Sales</t>
        </is>
      </c>
      <c r="C43" t="inlineStr">
        <is>
          <t>Executive</t>
        </is>
      </c>
      <c r="D43" s="4" t="n">
        <v>340000</v>
      </c>
    </row>
    <row r="44">
      <c r="A44" t="inlineStr">
        <is>
          <t>Rakesh Patel</t>
        </is>
      </c>
      <c r="B44" t="inlineStr">
        <is>
          <t>Operations</t>
        </is>
      </c>
      <c r="C44" t="inlineStr">
        <is>
          <t>Analyst</t>
        </is>
      </c>
      <c r="D44" s="4" t="n">
        <v>330000</v>
      </c>
    </row>
    <row r="45">
      <c r="A45" t="inlineStr">
        <is>
          <t>Bhavya Sharma</t>
        </is>
      </c>
      <c r="B45" t="inlineStr">
        <is>
          <t>Finance</t>
        </is>
      </c>
      <c r="C45" t="inlineStr">
        <is>
          <t>Analyst</t>
        </is>
      </c>
      <c r="D45" s="4" t="n">
        <v>320000</v>
      </c>
    </row>
    <row r="46">
      <c r="A46" t="inlineStr">
        <is>
          <t>Sunil Rao</t>
        </is>
      </c>
      <c r="B46" t="inlineStr">
        <is>
          <t>Marketing</t>
        </is>
      </c>
      <c r="C46" t="inlineStr">
        <is>
          <t>Executive</t>
        </is>
      </c>
      <c r="D46" s="4" t="n">
        <v>310000</v>
      </c>
    </row>
    <row r="47">
      <c r="A47" t="inlineStr">
        <is>
          <t>Chandru Kumar</t>
        </is>
      </c>
      <c r="B47" t="inlineStr">
        <is>
          <t>IT</t>
        </is>
      </c>
      <c r="C47" t="inlineStr">
        <is>
          <t>Developer</t>
        </is>
      </c>
      <c r="D47" s="4" t="n">
        <v>300000</v>
      </c>
    </row>
    <row r="48">
      <c r="A48" t="inlineStr">
        <is>
          <t>Teja Reddy</t>
        </is>
      </c>
      <c r="B48" t="inlineStr">
        <is>
          <t>Sales</t>
        </is>
      </c>
      <c r="C48" t="inlineStr">
        <is>
          <t>Executive</t>
        </is>
      </c>
      <c r="D48" s="4" t="n">
        <v>290000</v>
      </c>
    </row>
    <row r="49">
      <c r="A49" t="inlineStr">
        <is>
          <t>Rupa Patel</t>
        </is>
      </c>
      <c r="B49" t="inlineStr">
        <is>
          <t>Operations</t>
        </is>
      </c>
      <c r="C49" t="inlineStr">
        <is>
          <t>Analyst</t>
        </is>
      </c>
      <c r="D49" s="4" t="n">
        <v>280000</v>
      </c>
    </row>
    <row r="50">
      <c r="A50" t="inlineStr">
        <is>
          <t>Naveena Singh</t>
        </is>
      </c>
      <c r="B50" t="inlineStr">
        <is>
          <t>Finance</t>
        </is>
      </c>
      <c r="C50" t="inlineStr">
        <is>
          <t>Analyst</t>
        </is>
      </c>
      <c r="D50" s="4" t="n">
        <v>270000</v>
      </c>
    </row>
    <row r="51">
      <c r="A51" t="inlineStr">
        <is>
          <t>Ravi Rao</t>
        </is>
      </c>
      <c r="B51" t="inlineStr">
        <is>
          <t>Marketing</t>
        </is>
      </c>
      <c r="C51" t="inlineStr">
        <is>
          <t>Intern</t>
        </is>
      </c>
      <c r="D51" s="4" t="n">
        <v>240000</v>
      </c>
    </row>
    <row r="52">
      <c r="A52" t="inlineStr">
        <is>
          <t>Farah Khan</t>
        </is>
      </c>
      <c r="B52" t="inlineStr">
        <is>
          <t>HR</t>
        </is>
      </c>
      <c r="C52" t="inlineStr">
        <is>
          <t>HR Executive</t>
        </is>
      </c>
      <c r="D52" s="4" t="n">
        <v>410000</v>
      </c>
    </row>
    <row r="53">
      <c r="A53" t="inlineStr">
        <is>
          <t>Imran Ali</t>
        </is>
      </c>
      <c r="B53" t="inlineStr">
        <is>
          <t>HR</t>
        </is>
      </c>
      <c r="C53" t="inlineStr">
        <is>
          <t>HR Analyst</t>
        </is>
      </c>
      <c r="D53" s="4" t="n">
        <v>400000</v>
      </c>
    </row>
    <row r="54">
      <c r="A54" t="inlineStr">
        <is>
          <t>Sara Khan</t>
        </is>
      </c>
      <c r="B54" t="inlineStr">
        <is>
          <t>HR</t>
        </is>
      </c>
      <c r="C54" t="inlineStr">
        <is>
          <t>HR Executive</t>
        </is>
      </c>
      <c r="D54" s="4" t="n">
        <v>390000</v>
      </c>
    </row>
    <row r="55">
      <c r="A55" t="inlineStr">
        <is>
          <t>Omar Ali</t>
        </is>
      </c>
      <c r="B55" t="inlineStr">
        <is>
          <t>HR</t>
        </is>
      </c>
      <c r="C55" t="inlineStr">
        <is>
          <t>HR Analyst</t>
        </is>
      </c>
      <c r="D55" s="4" t="n">
        <v>380000</v>
      </c>
    </row>
    <row r="56">
      <c r="A56" t="inlineStr">
        <is>
          <t>Ayesha Khan</t>
        </is>
      </c>
      <c r="B56" t="inlineStr">
        <is>
          <t>HR</t>
        </is>
      </c>
      <c r="C56" t="inlineStr">
        <is>
          <t>HR Executive</t>
        </is>
      </c>
      <c r="D56" s="4" t="n">
        <v>370000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2" customWidth="1" min="4" max="4"/>
  </cols>
  <sheetData>
    <row r="1">
      <c r="A1" s="3" t="inlineStr">
        <is>
          <t>Department</t>
        </is>
      </c>
      <c r="B1" s="3" t="inlineStr">
        <is>
          <t>Employees</t>
        </is>
      </c>
      <c r="C1" s="3" t="inlineStr">
        <is>
          <t>Total Salary (₹)</t>
        </is>
      </c>
      <c r="D1" s="3" t="inlineStr">
        <is>
          <t>Average Salary (₹)</t>
        </is>
      </c>
    </row>
    <row r="2">
      <c r="A2" t="inlineStr">
        <is>
          <t>HR</t>
        </is>
      </c>
      <c r="B2">
        <f>COUNTIF('Raw Data'!B:B,A2)</f>
        <v/>
      </c>
      <c r="C2" s="4">
        <f>SUMIF('Raw Data'!B:B,A2,'Raw Data'!D:D)</f>
        <v/>
      </c>
      <c r="D2" s="4">
        <f>IFERROR(C2/B2,0)</f>
        <v/>
      </c>
    </row>
    <row r="3">
      <c r="A3" t="inlineStr">
        <is>
          <t>Finance</t>
        </is>
      </c>
      <c r="B3">
        <f>COUNTIF('Raw Data'!B:B,A3)</f>
        <v/>
      </c>
      <c r="C3" s="4">
        <f>SUMIF('Raw Data'!B:B,A3,'Raw Data'!D:D)</f>
        <v/>
      </c>
      <c r="D3" s="4">
        <f>IFERROR(C3/B3,0)</f>
        <v/>
      </c>
    </row>
    <row r="4">
      <c r="A4" t="inlineStr">
        <is>
          <t>IT</t>
        </is>
      </c>
      <c r="B4">
        <f>COUNTIF('Raw Data'!B:B,A4)</f>
        <v/>
      </c>
      <c r="C4" s="4">
        <f>SUMIF('Raw Data'!B:B,A4,'Raw Data'!D:D)</f>
        <v/>
      </c>
      <c r="D4" s="4">
        <f>IFERROR(C4/B4,0)</f>
        <v/>
      </c>
    </row>
    <row r="5">
      <c r="A5" t="inlineStr">
        <is>
          <t>Sales</t>
        </is>
      </c>
      <c r="B5">
        <f>COUNTIF('Raw Data'!B:B,A5)</f>
        <v/>
      </c>
      <c r="C5" s="4">
        <f>SUMIF('Raw Data'!B:B,A5,'Raw Data'!D:D)</f>
        <v/>
      </c>
      <c r="D5" s="4">
        <f>IFERROR(C5/B5,0)</f>
        <v/>
      </c>
    </row>
    <row r="6">
      <c r="A6" t="inlineStr">
        <is>
          <t>Marketing</t>
        </is>
      </c>
      <c r="B6">
        <f>COUNTIF('Raw Data'!B:B,A6)</f>
        <v/>
      </c>
      <c r="C6" s="4">
        <f>SUMIF('Raw Data'!B:B,A6,'Raw Data'!D:D)</f>
        <v/>
      </c>
      <c r="D6" s="4">
        <f>IFERROR(C6/B6,0)</f>
        <v/>
      </c>
    </row>
    <row r="7">
      <c r="A7" t="inlineStr">
        <is>
          <t>Operations</t>
        </is>
      </c>
      <c r="B7">
        <f>COUNTIF('Raw Data'!B:B,A7)</f>
        <v/>
      </c>
      <c r="C7" s="4">
        <f>SUMIF('Raw Data'!B:B,A7,'Raw Data'!D:D)</f>
        <v/>
      </c>
      <c r="D7" s="4">
        <f>IFERROR(C7/B7,0)</f>
        <v/>
      </c>
    </row>
    <row r="8">
      <c r="A8" s="2" t="inlineStr">
        <is>
          <t>Grand Total</t>
        </is>
      </c>
      <c r="B8" s="2">
        <f>COUNTA('Raw Data'!A:A)-1</f>
        <v/>
      </c>
      <c r="C8" s="5">
        <f>SUM('Raw Data'!D:D)</f>
        <v/>
      </c>
      <c r="D8" s="5">
        <f>IFERROR(C8/B8,0)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6" t="inlineStr">
        <is>
          <t>EMPLOYEE SALARY ANALYSIS DASHBOARD</t>
        </is>
      </c>
    </row>
    <row r="2"/>
    <row r="4">
      <c r="A4" s="7" t="inlineStr">
        <is>
          <t>TOTAL EMPLOYEES</t>
        </is>
      </c>
      <c r="C4" s="7" t="inlineStr">
        <is>
          <t>TOTAL SALARY</t>
        </is>
      </c>
      <c r="E4" s="7" t="inlineStr">
        <is>
          <t>AVERAGE SALARY</t>
        </is>
      </c>
      <c r="G4" s="7" t="inlineStr">
        <is>
          <t>HIGHEST SALARY</t>
        </is>
      </c>
      <c r="I4" s="7" t="inlineStr">
        <is>
          <t>LOWEST SALARY</t>
        </is>
      </c>
    </row>
    <row r="5">
      <c r="A5" s="8">
        <f>Summary!B8</f>
        <v/>
      </c>
      <c r="C5" s="9">
        <f>Summary!C8</f>
        <v/>
      </c>
      <c r="E5" s="9">
        <f>Summary!D8</f>
        <v/>
      </c>
      <c r="G5" s="9">
        <f>MAX('Raw Data'!D2:D56)</f>
        <v/>
      </c>
      <c r="I5" s="9">
        <f>MIN('Raw Data'!D2:D56)</f>
        <v/>
      </c>
    </row>
    <row r="6"/>
    <row r="8">
      <c r="A8" s="3" t="inlineStr">
        <is>
          <t>DEPARTMENT-WISE TOTAL SALARY</t>
        </is>
      </c>
      <c r="F8" s="3" t="inlineStr">
        <is>
          <t>DEPARTMENT-WISE AVERAGE SALARY</t>
        </is>
      </c>
    </row>
    <row r="24">
      <c r="A24" s="3" t="inlineStr">
        <is>
          <t>DEPARTMENT SUMMARY</t>
        </is>
      </c>
      <c r="F24" s="3" t="inlineStr">
        <is>
          <t>KEY INSIGHTS</t>
        </is>
      </c>
    </row>
    <row r="25">
      <c r="A25" s="2" t="inlineStr">
        <is>
          <t>Department</t>
        </is>
      </c>
      <c r="B25" s="2" t="inlineStr">
        <is>
          <t>Employees</t>
        </is>
      </c>
      <c r="C25" s="2" t="inlineStr">
        <is>
          <t>Total Salary (₹)</t>
        </is>
      </c>
      <c r="D25" s="2" t="inlineStr">
        <is>
          <t>Average Salary (₹)</t>
        </is>
      </c>
    </row>
    <row r="26">
      <c r="A26">
        <f>Summary!A2</f>
        <v/>
      </c>
      <c r="B26">
        <f>Summary!B2</f>
        <v/>
      </c>
      <c r="C26" s="4">
        <f>Summary!C2</f>
        <v/>
      </c>
      <c r="D26" s="4">
        <f>Summary!D2</f>
        <v/>
      </c>
      <c r="F26" t="inlineStr">
        <is>
          <t>• Compare department salary costs</t>
        </is>
      </c>
    </row>
    <row r="27">
      <c r="A27">
        <f>Summary!A3</f>
        <v/>
      </c>
      <c r="B27">
        <f>Summary!B3</f>
        <v/>
      </c>
      <c r="C27" s="4">
        <f>Summary!C3</f>
        <v/>
      </c>
      <c r="D27" s="4">
        <f>Summary!D3</f>
        <v/>
      </c>
      <c r="F27" t="inlineStr">
        <is>
          <t>• Identify highest average salary department</t>
        </is>
      </c>
    </row>
    <row r="28">
      <c r="A28">
        <f>Summary!A4</f>
        <v/>
      </c>
      <c r="B28">
        <f>Summary!B4</f>
        <v/>
      </c>
      <c r="C28" s="4">
        <f>Summary!C4</f>
        <v/>
      </c>
      <c r="D28" s="4">
        <f>Summary!D4</f>
        <v/>
      </c>
      <c r="F28" t="inlineStr">
        <is>
          <t>• Review highest and lowest salaries</t>
        </is>
      </c>
    </row>
    <row r="29">
      <c r="A29">
        <f>Summary!A5</f>
        <v/>
      </c>
      <c r="B29">
        <f>Summary!B5</f>
        <v/>
      </c>
      <c r="C29" s="4">
        <f>Summary!C5</f>
        <v/>
      </c>
      <c r="D29" s="4">
        <f>Summary!D5</f>
        <v/>
      </c>
      <c r="F29" t="inlineStr">
        <is>
          <t>• Use findings for workforce decisions</t>
        </is>
      </c>
    </row>
    <row r="30">
      <c r="A30">
        <f>Summary!A6</f>
        <v/>
      </c>
      <c r="B30">
        <f>Summary!B6</f>
        <v/>
      </c>
      <c r="C30" s="4">
        <f>Summary!C6</f>
        <v/>
      </c>
      <c r="D30" s="4">
        <f>Summary!D6</f>
        <v/>
      </c>
    </row>
    <row r="31">
      <c r="A31">
        <f>Summary!A7</f>
        <v/>
      </c>
      <c r="B31">
        <f>Summary!B7</f>
        <v/>
      </c>
      <c r="C31" s="4">
        <f>Summary!C7</f>
        <v/>
      </c>
      <c r="D31" s="4">
        <f>Summary!D7</f>
        <v/>
      </c>
    </row>
  </sheetData>
  <mergeCells count="19">
    <mergeCell ref="A1:J2"/>
    <mergeCell ref="F29:J29"/>
    <mergeCell ref="A5:B6"/>
    <mergeCell ref="G5:H6"/>
    <mergeCell ref="I5:J6"/>
    <mergeCell ref="C4:D4"/>
    <mergeCell ref="E4:F4"/>
    <mergeCell ref="F24:J24"/>
    <mergeCell ref="A24:D24"/>
    <mergeCell ref="F8:J8"/>
    <mergeCell ref="F26:J26"/>
    <mergeCell ref="C5:D6"/>
    <mergeCell ref="F28:J28"/>
    <mergeCell ref="E5:F6"/>
    <mergeCell ref="A8:E8"/>
    <mergeCell ref="F27:J27"/>
    <mergeCell ref="A4:B4"/>
    <mergeCell ref="G4:H4"/>
    <mergeCell ref="I4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2026-08-17T18:41:24Z</dcterms:created>
  <dcterms:modified xmlns:dcterms="http://purl.org/dc/terms/" xmlns:xsi="http://www.w3.org/2001/XMLSchema-instance" xsi:type="dcterms:W3CDTF">2026-08-17T18:41:24Z</dcterms:modified>
</cp:coreProperties>
</file>