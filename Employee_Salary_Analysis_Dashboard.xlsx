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y pc\OneDrive\Documents\SUBHAN FILES\"/>
    </mc:Choice>
  </mc:AlternateContent>
  <xr:revisionPtr revIDLastSave="13" documentId="8_{FA5AF04F-8C55-4F87-9AA2-6392FCD3A441}" xr6:coauthVersionLast="36" xr6:coauthVersionMax="36" xr10:uidLastSave="{00E1909D-C527-474C-B60B-7D3B32A5940C}"/>
  <bookViews>
    <workbookView xWindow="0" yWindow="0" windowWidth="10450" windowHeight="6410" activeTab="2" xr2:uid="{8FDFAD87-FBFF-4865-9E70-D019EE5F760D}"/>
  </bookViews>
  <sheets>
    <sheet name="Raw_data" sheetId="1" r:id="rId1"/>
    <sheet name="summary" sheetId="3" r:id="rId2"/>
    <sheet name="Dashboard" sheetId="4" r:id="rId3"/>
  </sheets>
  <definedNames>
    <definedName name="Employeesalarydata">Table1[]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D14" i="3" l="1"/>
  <c r="C14" i="3"/>
  <c r="B14" i="3"/>
  <c r="D13" i="3"/>
  <c r="C13" i="3"/>
  <c r="B13" i="3"/>
  <c r="D12" i="3"/>
  <c r="C12" i="3"/>
  <c r="B12" i="3"/>
  <c r="D11" i="3"/>
  <c r="C11" i="3"/>
  <c r="B11" i="3"/>
  <c r="B6" i="3"/>
  <c r="B7" i="3"/>
  <c r="B4" i="3"/>
  <c r="B5" i="3"/>
  <c r="B3" i="3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<sst xmlns="http://schemas.openxmlformats.org/spreadsheetml/2006/main" count="75" uniqueCount="51">
  <si>
    <t>Employee_ID</t>
  </si>
  <si>
    <t>Bonus</t>
  </si>
  <si>
    <t>Employee_name</t>
  </si>
  <si>
    <t>Departmeant</t>
  </si>
  <si>
    <t>E001</t>
  </si>
  <si>
    <t>RAVI</t>
  </si>
  <si>
    <t>IT</t>
  </si>
  <si>
    <t>E002</t>
  </si>
  <si>
    <t>SITA</t>
  </si>
  <si>
    <t>HR</t>
  </si>
  <si>
    <t>E003</t>
  </si>
  <si>
    <t>CHERRY</t>
  </si>
  <si>
    <t>SALES</t>
  </si>
  <si>
    <t>E004</t>
  </si>
  <si>
    <t>MUNNA</t>
  </si>
  <si>
    <t>E005</t>
  </si>
  <si>
    <t>ASHA</t>
  </si>
  <si>
    <t>E006</t>
  </si>
  <si>
    <t>SUBHAN</t>
  </si>
  <si>
    <t>FINANCE</t>
  </si>
  <si>
    <t>E007</t>
  </si>
  <si>
    <t>SASI</t>
  </si>
  <si>
    <t>RAHUL</t>
  </si>
  <si>
    <t>KIRAN</t>
  </si>
  <si>
    <t>NEHA</t>
  </si>
  <si>
    <t>E008</t>
  </si>
  <si>
    <t>E009</t>
  </si>
  <si>
    <t>E010</t>
  </si>
  <si>
    <t>Total salary</t>
  </si>
  <si>
    <t>Total Employee</t>
  </si>
  <si>
    <t>Average salary</t>
  </si>
  <si>
    <t>Highest salary</t>
  </si>
  <si>
    <t>Lowest salary</t>
  </si>
  <si>
    <t>Employee_count</t>
  </si>
  <si>
    <t>Total_salary</t>
  </si>
  <si>
    <t>Average_salary</t>
  </si>
  <si>
    <t>Employee salary dashboard</t>
  </si>
  <si>
    <t>Total employees</t>
  </si>
  <si>
    <t xml:space="preserve">Total salary </t>
  </si>
  <si>
    <t xml:space="preserve">  IT</t>
  </si>
  <si>
    <t>Emplyee salary</t>
  </si>
  <si>
    <t>summary</t>
  </si>
  <si>
    <t>Basic_salary</t>
  </si>
  <si>
    <t>Finance</t>
  </si>
  <si>
    <t>Sales</t>
  </si>
  <si>
    <t xml:space="preserve">    Finance has the second-highest average salary at 31,250</t>
  </si>
  <si>
    <t xml:space="preserve">   HR has the lowest average salary at 26,750</t>
  </si>
  <si>
    <r>
      <t xml:space="preserve">               </t>
    </r>
    <r>
      <rPr>
        <b/>
        <sz val="20"/>
        <color theme="9" tint="-0.249977111117893"/>
        <rFont val="Calibri"/>
        <family val="2"/>
        <scheme val="minor"/>
      </rPr>
      <t xml:space="preserve"> Business insights</t>
    </r>
  </si>
  <si>
    <t xml:space="preserve">    Total salary across all employees is 297,500</t>
  </si>
  <si>
    <t xml:space="preserve">    IT has the highest average salary at 32,833.33</t>
  </si>
  <si>
    <t xml:space="preserve">    IT has the highest total salary at 98,500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</si>
</sst>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 Unicode MS"/>
    </font>
    <font>
      <b/>
      <sz val="20"/>
      <color theme="9" tint="-0.249977111117893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43" fontId="1" fillId="0" borderId="4" xfId="1" applyFont="1" applyBorder="1" applyAlignment="1">
      <alignment horizontal="center"/>
    </xf>
    <xf numFmtId="43" fontId="1" fillId="0" borderId="5" xfId="1" applyFont="1" applyBorder="1" applyAlignment="1">
      <alignment horizontal="center"/>
    </xf>
    <xf numFmtId="43" fontId="1" fillId="0" borderId="6" xfId="1" applyFont="1" applyBorder="1" applyAlignment="1">
      <alignment horizontal="center"/>
    </xf>
    <xf numFmtId="43" fontId="1" fillId="0" borderId="7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5" fillId="3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23"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theme="9" tint="0.39994506668294322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dEPARTMEANT-WISE</a:t>
            </a:r>
            <a:r>
              <a:rPr lang="en-IN" sz="1100" baseline="0"/>
              <a:t> AVERAGE SALARY</a:t>
            </a:r>
            <a:r>
              <a:rPr lang="en-IN" sz="11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8368131868131868"/>
          <c:w val="0.79903815994660377"/>
          <c:h val="0.69905641602491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 salary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Dashboard!$D$4:$D$8</c:f>
              <c:strCache>
                <c:ptCount val="4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Finance</c:v>
                </c:pt>
              </c:strCache>
            </c:strRef>
          </c:cat>
          <c:val>
            <c:numRef>
              <c:f>Dashboard!$E$4:$E$8</c:f>
              <c:numCache>
                <c:formatCode>_(* #,##0.00_);_(* \(#,##0.00\);_(* "-"??_);_(@_)</c:formatCode>
                <c:ptCount val="5"/>
                <c:pt idx="0">
                  <c:v>98500</c:v>
                </c:pt>
                <c:pt idx="1">
                  <c:v>53500</c:v>
                </c:pt>
                <c:pt idx="2">
                  <c:v>83000</c:v>
                </c:pt>
                <c:pt idx="3">
                  <c:v>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B-4653-B831-AF45616B2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5605887"/>
        <c:axId val="2118072319"/>
      </c:barChart>
      <c:catAx>
        <c:axId val="211560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72319"/>
        <c:crosses val="autoZero"/>
        <c:auto val="1"/>
        <c:lblAlgn val="ctr"/>
        <c:lblOffset val="100"/>
        <c:noMultiLvlLbl val="0"/>
      </c:catAx>
      <c:valAx>
        <c:axId val="211807231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0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DEPARTMEANT</a:t>
            </a:r>
            <a:r>
              <a:rPr lang="en-IN" sz="1100" b="1" baseline="0"/>
              <a:t>_WISE AVERAGE SALARY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Dashboard!$D$12:$D$16</c:f>
              <c:strCache>
                <c:ptCount val="4"/>
                <c:pt idx="0">
                  <c:v>   IT </c:v>
                </c:pt>
                <c:pt idx="1">
                  <c:v> HR </c:v>
                </c:pt>
                <c:pt idx="2">
                  <c:v> SALES </c:v>
                </c:pt>
                <c:pt idx="3">
                  <c:v> FINANCE </c:v>
                </c:pt>
              </c:strCache>
            </c:strRef>
          </c:cat>
          <c:val>
            <c:numRef>
              <c:f>Dashboard!$E$12:$E$16</c:f>
              <c:numCache>
                <c:formatCode>_(* #,##0.00_);_(* \(#,##0.00\);_(* "-"??_);_(@_)</c:formatCode>
                <c:ptCount val="5"/>
                <c:pt idx="0">
                  <c:v>32833.33</c:v>
                </c:pt>
                <c:pt idx="1">
                  <c:v>26750</c:v>
                </c:pt>
                <c:pt idx="2">
                  <c:v>27666.67</c:v>
                </c:pt>
                <c:pt idx="3">
                  <c:v>31250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5-451C-8749-1BB3B27032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8715359"/>
        <c:axId val="2118078975"/>
      </c:barChart>
      <c:catAx>
        <c:axId val="2118715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78975"/>
        <c:crosses val="autoZero"/>
        <c:auto val="1"/>
        <c:lblAlgn val="ctr"/>
        <c:lblOffset val="100"/>
        <c:noMultiLvlLbl val="0"/>
      </c:catAx>
      <c:valAx>
        <c:axId val="2118078975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1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600529</xdr:colOff>
      <xdr:row>3</xdr:row>
      <xdr:rowOff>53521</xdr:rowOff>
    </xdr:from>
    <xdr:to>
      <xdr:col>12</xdr:col>
      <xdr:colOff>335643</xdr:colOff>
      <xdr:row>12</xdr:row>
      <xdr:rowOff>97064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01E8E7-2EDE-46B9-B203-543BBE3A9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553358</xdr:colOff>
      <xdr:row>3</xdr:row>
      <xdr:rowOff>18143</xdr:rowOff>
    </xdr:from>
    <xdr:to>
      <xdr:col>18</xdr:col>
      <xdr:colOff>455386</xdr:colOff>
      <xdr:row>12</xdr:row>
      <xdr:rowOff>117928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144824-D704-4E62-8E2E-673442A87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9D6FD-24C0-45FD-8B19-3D3420AE164D}" name="Table1" displayName="Table1" ref="A1:F11" totalsRowShown="0" headerRowDxfId="22" dataDxfId="21">
  <autoFilter ref="A1:F11" xr:uid="{3FAC967C-DDE7-42DE-BE87-9A4FC666170C}"/>
  <tableColumns count="6">
    <tableColumn id="1" xr3:uid="{AC0837D2-E141-4FD2-9ABA-3629C637F05E}" name="Employee_ID" dataDxfId="20"/>
    <tableColumn id="2" xr3:uid="{90896F70-3626-427C-A8E1-9BCA43C73310}" name="Employee_name" dataDxfId="19"/>
    <tableColumn id="3" xr3:uid="{3B2E2E5F-53B6-4DF2-AA5F-4559BEAADF11}" name="Departmeant" dataDxfId="18"/>
    <tableColumn id="4" xr3:uid="{66194406-1BA5-4321-8917-B2C898DAB8A6}" name="Basic_salary" dataDxfId="17"/>
    <tableColumn id="5" xr3:uid="{EABE8908-1CE0-4448-8FF5-BE58E6E36741}" name="Bonus" dataDxfId="16"/>
    <tableColumn id="6" xr3:uid="{52A1771A-D2BE-4032-9E68-04AB7402B23A}" name="Total_salary" dataDxfId="15">
      <calculatedColumnFormula>D2+E2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72D1F-7982-4CA2-8FB0-F590C6A33093}" name="Table3" displayName="Table3" ref="D3:E8" totalsRowShown="0" headerRowDxfId="13" dataDxfId="11" headerRowBorderDxfId="12" tableBorderDxfId="10" totalsRowBorderDxfId="9">
  <autoFilter ref="D3:E8" xr:uid="{CA611099-92F8-48FE-8EAE-119B2F959FF1}"/>
  <tableColumns count="2">
    <tableColumn id="1" xr3:uid="{809D510E-55F7-4558-9A36-CF81EFAB9110}" name="Departmeant" dataDxfId="8"/>
    <tableColumn id="2" xr3:uid="{79A9C68C-177C-438E-9918-3B5345813099}" name="Total salary " dataDxfId="7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051AF5-DF79-4B04-BF48-DB19D82A1D38}" name="Table5" displayName="Table5" ref="D11:E16" totalsRowShown="0" headerRowDxfId="6" dataDxfId="4" headerRowBorderDxfId="5" tableBorderDxfId="3" totalsRowBorderDxfId="2" dataCellStyle="Comma">
  <autoFilter ref="D11:E16" xr:uid="{5A1C860C-1B5A-4265-A6EC-D9B43647403F}"/>
  <tableColumns count="2">
    <tableColumn id="1" xr3:uid="{88DAEF52-614C-49CF-8FD4-D2A561FB817A}" name="Departmeant" dataDxfId="1" dataCellStyle="Comma"/>
    <tableColumn id="2" xr3:uid="{EB47AF4D-17EF-45D3-A148-61A20DFBCF9C}" name="Average salary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E110-646C-4C37-A786-6C454CE75C8E}">
  <dimension ref="A1:F11"/>
  <sheetViews>
    <sheetView zoomScale="87" zoomScaleNormal="70" workbookViewId="0">
      <selection activeCell="J11" sqref="J11"/>
    </sheetView>
  </sheetViews>
  <sheetFormatPr defaultRowHeight="14.5"/>
  <cols>
    <col min="1" max="1" width="17" style="1" bestFit="1" customWidth="1"/>
    <col min="2" max="2" width="19.90625" style="4" bestFit="1" customWidth="1"/>
    <col min="3" max="3" width="17.26953125" style="1" bestFit="1" customWidth="1"/>
    <col min="4" max="4" width="16.26953125" style="1" bestFit="1" customWidth="1"/>
    <col min="5" max="5" width="11.26953125" style="1" bestFit="1" customWidth="1"/>
    <col min="6" max="6" width="16.1796875" style="1" bestFit="1" customWidth="1"/>
    <col min="7" max="16384" width="8.7265625" style="1"/>
  </cols>
  <sheetData>
    <row r="1" spans="1:6" ht="15" customHeight="1">
      <c r="A1" s="6" t="s">
        <v>0</v>
      </c>
      <c r="B1" s="7" t="s">
        <v>2</v>
      </c>
      <c r="C1" s="8" t="s">
        <v>3</v>
      </c>
      <c r="D1" s="8" t="s">
        <v>42</v>
      </c>
      <c r="E1" s="8" t="s">
        <v>1</v>
      </c>
      <c r="F1" s="8" t="s">
        <v>34</v>
      </c>
    </row>
    <row r="2" spans="1:6">
      <c r="A2" s="2" t="s">
        <v>4</v>
      </c>
      <c r="B2" s="5" t="s">
        <v>5</v>
      </c>
      <c r="C2" s="1" t="s">
        <v>6</v>
      </c>
      <c r="D2" s="1">
        <v>25000</v>
      </c>
      <c r="E2" s="1">
        <v>3000</v>
      </c>
      <c r="F2" s="1">
        <f>D2+E2</f>
        <v>28000</v>
      </c>
    </row>
    <row r="3" spans="1:6">
      <c r="A3" s="2" t="s">
        <v>7</v>
      </c>
      <c r="B3" s="5" t="s">
        <v>8</v>
      </c>
      <c r="C3" s="1" t="s">
        <v>9</v>
      </c>
      <c r="D3" s="1">
        <v>22000</v>
      </c>
      <c r="E3" s="1">
        <v>2500</v>
      </c>
      <c r="F3" s="1">
        <f t="shared" ref="F3:F11" si="0">D3+E3</f>
        <v>24500</v>
      </c>
    </row>
    <row r="4" spans="1:6">
      <c r="A4" s="2" t="s">
        <v>10</v>
      </c>
      <c r="B4" s="5" t="s">
        <v>11</v>
      </c>
      <c r="C4" s="1" t="s">
        <v>12</v>
      </c>
      <c r="D4" s="1">
        <v>28000</v>
      </c>
      <c r="E4" s="1">
        <v>3500</v>
      </c>
      <c r="F4" s="1">
        <f t="shared" si="0"/>
        <v>31500</v>
      </c>
    </row>
    <row r="5" spans="1:6">
      <c r="A5" s="2" t="s">
        <v>13</v>
      </c>
      <c r="B5" s="5" t="s">
        <v>14</v>
      </c>
      <c r="C5" s="1" t="s">
        <v>6</v>
      </c>
      <c r="D5" s="1">
        <v>30000</v>
      </c>
      <c r="E5" s="1">
        <v>4000</v>
      </c>
      <c r="F5" s="1">
        <f t="shared" si="0"/>
        <v>34000</v>
      </c>
    </row>
    <row r="6" spans="1:6">
      <c r="A6" s="2" t="s">
        <v>15</v>
      </c>
      <c r="B6" s="5" t="s">
        <v>16</v>
      </c>
      <c r="C6" s="1" t="s">
        <v>19</v>
      </c>
      <c r="D6" s="1">
        <v>27000</v>
      </c>
      <c r="E6" s="1">
        <v>3000</v>
      </c>
      <c r="F6" s="1">
        <f t="shared" si="0"/>
        <v>30000</v>
      </c>
    </row>
    <row r="7" spans="1:6">
      <c r="A7" s="2" t="s">
        <v>17</v>
      </c>
      <c r="B7" s="5" t="s">
        <v>18</v>
      </c>
      <c r="C7" s="1" t="s">
        <v>12</v>
      </c>
      <c r="D7" s="1">
        <v>24000</v>
      </c>
      <c r="E7" s="1">
        <v>2500</v>
      </c>
      <c r="F7" s="1">
        <f t="shared" si="0"/>
        <v>26500</v>
      </c>
    </row>
    <row r="8" spans="1:6">
      <c r="A8" s="2" t="s">
        <v>20</v>
      </c>
      <c r="B8" s="5" t="s">
        <v>21</v>
      </c>
      <c r="C8" s="1" t="s">
        <v>9</v>
      </c>
      <c r="D8" s="1">
        <v>26000</v>
      </c>
      <c r="E8" s="1">
        <v>3000</v>
      </c>
      <c r="F8" s="1">
        <f t="shared" si="0"/>
        <v>29000</v>
      </c>
    </row>
    <row r="9" spans="1:6">
      <c r="A9" s="2" t="s">
        <v>25</v>
      </c>
      <c r="B9" s="5" t="s">
        <v>22</v>
      </c>
      <c r="C9" s="1" t="s">
        <v>6</v>
      </c>
      <c r="D9" s="1">
        <v>32000</v>
      </c>
      <c r="E9" s="1">
        <v>4500</v>
      </c>
      <c r="F9" s="1">
        <f t="shared" si="0"/>
        <v>36500</v>
      </c>
    </row>
    <row r="10" spans="1:6">
      <c r="A10" s="2" t="s">
        <v>26</v>
      </c>
      <c r="B10" s="5" t="s">
        <v>23</v>
      </c>
      <c r="C10" s="1" t="s">
        <v>19</v>
      </c>
      <c r="D10" s="1">
        <v>29000</v>
      </c>
      <c r="E10" s="1">
        <v>3500</v>
      </c>
      <c r="F10" s="1">
        <f t="shared" si="0"/>
        <v>32500</v>
      </c>
    </row>
    <row r="11" spans="1:6">
      <c r="A11" s="2" t="s">
        <v>27</v>
      </c>
      <c r="B11" s="5" t="s">
        <v>24</v>
      </c>
      <c r="C11" s="1" t="s">
        <v>12</v>
      </c>
      <c r="D11" s="1">
        <v>23000</v>
      </c>
      <c r="E11" s="1">
        <v>2000</v>
      </c>
      <c r="F11" s="1">
        <f t="shared" si="0"/>
        <v>25000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CAAE-CC80-44F6-9B33-F0609611E843}">
  <dimension ref="A1:D14"/>
  <sheetViews>
    <sheetView workbookViewId="0">
      <selection activeCell="F8" sqref="F8"/>
    </sheetView>
  </sheetViews>
  <sheetFormatPr defaultRowHeight="14.5"/>
  <cols>
    <col min="1" max="1" width="14.6328125" bestFit="1" customWidth="1"/>
    <col min="2" max="2" width="14.90625" bestFit="1" customWidth="1"/>
    <col min="3" max="3" width="11" bestFit="1" customWidth="1"/>
    <col min="4" max="4" width="13.54296875" bestFit="1" customWidth="1"/>
  </cols>
  <sheetData>
    <row r="1" spans="1:4" ht="15.5">
      <c r="A1" s="26" t="s">
        <v>40</v>
      </c>
      <c r="B1" s="26" t="s">
        <v>41</v>
      </c>
    </row>
    <row r="2" spans="1:4">
      <c r="A2" s="25"/>
      <c r="B2" s="25"/>
    </row>
    <row r="3" spans="1:4">
      <c r="A3" s="25" t="s">
        <v>29</v>
      </c>
      <c r="B3" s="25">
        <f>COUNTA(Raw_data!A2:A11)</f>
        <v>10</v>
      </c>
    </row>
    <row r="4" spans="1:4">
      <c r="A4" s="25" t="s">
        <v>28</v>
      </c>
      <c r="B4" s="25">
        <f>SUM(Raw_data!F2:F11)</f>
        <v>297500</v>
      </c>
    </row>
    <row r="5" spans="1:4">
      <c r="A5" s="25" t="s">
        <v>30</v>
      </c>
      <c r="B5" s="25">
        <f>AVERAGE(Raw_data!F2:F11)</f>
        <v>29750</v>
      </c>
    </row>
    <row r="6" spans="1:4">
      <c r="A6" s="25" t="s">
        <v>31</v>
      </c>
      <c r="B6" s="25">
        <f>MAX(Raw_data!F2:F11)</f>
        <v>36500</v>
      </c>
    </row>
    <row r="7" spans="1:4">
      <c r="A7" s="25" t="s">
        <v>32</v>
      </c>
      <c r="B7" s="25">
        <f>MIN(Raw_data!F2:F11)</f>
        <v>24500</v>
      </c>
    </row>
    <row r="10" spans="1:4">
      <c r="A10" s="24" t="s">
        <v>3</v>
      </c>
      <c r="B10" s="24" t="s">
        <v>33</v>
      </c>
      <c r="C10" s="24" t="s">
        <v>34</v>
      </c>
      <c r="D10" s="24" t="s">
        <v>35</v>
      </c>
    </row>
    <row r="11" spans="1:4">
      <c r="A11" s="25" t="s">
        <v>6</v>
      </c>
      <c r="B11" s="25">
        <f>COUNTIF(Raw_data!C2:C11,A11)</f>
        <v>3</v>
      </c>
      <c r="C11" s="25">
        <f>SUMIF(Raw_data!C2:C11,A11,Raw_data!F2:F11)</f>
        <v>98500</v>
      </c>
      <c r="D11" s="25">
        <f>AVERAGEIF(Raw_data!C2:C11,A11,Raw_data!F2:F11)</f>
        <v>32833.333333333336</v>
      </c>
    </row>
    <row r="12" spans="1:4">
      <c r="A12" s="25" t="s">
        <v>9</v>
      </c>
      <c r="B12" s="25">
        <f>COUNTIF(Raw_data!C2:C11,A12)</f>
        <v>2</v>
      </c>
      <c r="C12" s="25">
        <f>SUMIF(Raw_data!C2:C11,A12,Raw_data!F2:F11)</f>
        <v>53500</v>
      </c>
      <c r="D12" s="25">
        <f>AVERAGEIF(Raw_data!C2:C11,A12,Raw_data!F2:F11)</f>
        <v>26750</v>
      </c>
    </row>
    <row r="13" spans="1:4">
      <c r="A13" s="25" t="s">
        <v>12</v>
      </c>
      <c r="B13" s="25">
        <f>COUNTIF(Raw_data!C2:C11,A13)</f>
        <v>3</v>
      </c>
      <c r="C13" s="25">
        <f>SUMIF(Raw_data!C2:C11,A13,Raw_data!F2:F11)</f>
        <v>83000</v>
      </c>
      <c r="D13" s="25">
        <f>AVERAGEIF(Raw_data!C2:C11,A13,Raw_data!F2:F11)</f>
        <v>27666.666666666668</v>
      </c>
    </row>
    <row r="14" spans="1:4">
      <c r="A14" s="25" t="s">
        <v>19</v>
      </c>
      <c r="B14" s="25">
        <f>COUNTIF(Raw_data!C2:C11,A14)</f>
        <v>2</v>
      </c>
      <c r="C14" s="25">
        <f>SUMIF(Raw_data!C2:C11,A14,Raw_data!F2:F11)</f>
        <v>62500</v>
      </c>
      <c r="D14" s="25">
        <f>AVERAGEIF(Raw_data!C2:C11,A14,Raw_data!F2:F11)</f>
        <v>31250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8C44-63F3-429A-84C2-E30D9F6BA585}">
  <dimension ref="A1:E16"/>
  <sheetViews>
    <sheetView tabSelected="1" topLeftCell="F2" zoomScale="70" zoomScaleNormal="70" workbookViewId="0">
      <selection activeCell="N17" sqref="N17"/>
    </sheetView>
  </sheetViews>
  <sheetFormatPr defaultRowHeight="14.5"/>
  <cols>
    <col min="1" max="1" width="55.54296875" style="1" bestFit="1" customWidth="1"/>
    <col min="2" max="2" width="14.90625" style="1" bestFit="1" customWidth="1"/>
    <col min="3" max="3" width="8.7265625" style="1"/>
    <col min="4" max="4" width="18" style="1" bestFit="1" customWidth="1"/>
    <col min="5" max="5" width="19.1796875" style="1" bestFit="1" customWidth="1"/>
    <col min="6" max="16384" width="8.7265625" style="1"/>
  </cols>
  <sheetData>
    <row r="1" spans="1:5" ht="23.5">
      <c r="A1" s="11" t="s">
        <v>36</v>
      </c>
    </row>
    <row r="3" spans="1:5" ht="18.5">
      <c r="A3" s="9" t="s">
        <v>37</v>
      </c>
      <c r="B3" s="9">
        <f>summary!B3</f>
        <v>10</v>
      </c>
      <c r="D3" s="19" t="s">
        <v>3</v>
      </c>
      <c r="E3" s="20" t="s">
        <v>38</v>
      </c>
    </row>
    <row r="4" spans="1:5" ht="18.5">
      <c r="A4" s="9" t="s">
        <v>28</v>
      </c>
      <c r="B4" s="10">
        <f>summary!B4</f>
        <v>297500</v>
      </c>
      <c r="D4" s="21" t="s">
        <v>6</v>
      </c>
      <c r="E4" s="16">
        <v>98500</v>
      </c>
    </row>
    <row r="5" spans="1:5" ht="18.5">
      <c r="A5" s="9" t="s">
        <v>30</v>
      </c>
      <c r="B5" s="10">
        <f>summary!B5</f>
        <v>29750</v>
      </c>
      <c r="D5" s="21" t="s">
        <v>9</v>
      </c>
      <c r="E5" s="16">
        <v>53500</v>
      </c>
    </row>
    <row r="6" spans="1:5" ht="18.5">
      <c r="A6" s="9" t="s">
        <v>31</v>
      </c>
      <c r="B6" s="10">
        <f>summary!B6</f>
        <v>36500</v>
      </c>
      <c r="D6" s="21" t="s">
        <v>44</v>
      </c>
      <c r="E6" s="16">
        <v>83000</v>
      </c>
    </row>
    <row r="7" spans="1:5" ht="18.5">
      <c r="A7" s="9" t="s">
        <v>32</v>
      </c>
      <c r="B7" s="10">
        <f>summary!B7</f>
        <v>24500</v>
      </c>
      <c r="D7" s="21" t="s">
        <v>43</v>
      </c>
      <c r="E7" s="16">
        <v>62500</v>
      </c>
    </row>
    <row r="8" spans="1:5">
      <c r="B8" s="3"/>
      <c r="D8" s="22"/>
      <c r="E8" s="18"/>
    </row>
    <row r="10" spans="1:5" ht="26">
      <c r="A10" s="12" t="s">
        <v>47</v>
      </c>
    </row>
    <row r="11" spans="1:5" ht="15.5">
      <c r="A11" s="23" t="s">
        <v>49</v>
      </c>
      <c r="D11" s="19" t="s">
        <v>3</v>
      </c>
      <c r="E11" s="20" t="s">
        <v>30</v>
      </c>
    </row>
    <row r="12" spans="1:5" ht="15.5">
      <c r="A12" s="13" t="s">
        <v>50</v>
      </c>
      <c r="D12" s="15" t="s">
        <v>39</v>
      </c>
      <c r="E12" s="16">
        <v>32833.33</v>
      </c>
    </row>
    <row r="13" spans="1:5" ht="15.5">
      <c r="A13" s="13" t="s">
        <v>45</v>
      </c>
      <c r="D13" s="15" t="s">
        <v>9</v>
      </c>
      <c r="E13" s="16">
        <v>26750</v>
      </c>
    </row>
    <row r="14" spans="1:5" ht="15.5">
      <c r="A14" s="14" t="s">
        <v>46</v>
      </c>
      <c r="D14" s="15" t="s">
        <v>12</v>
      </c>
      <c r="E14" s="16">
        <v>27666.67</v>
      </c>
    </row>
    <row r="15" spans="1:5" ht="15.5">
      <c r="A15" s="13" t="s">
        <v>48</v>
      </c>
      <c r="D15" s="15" t="s">
        <v>19</v>
      </c>
      <c r="E15" s="16">
        <v>31250</v>
      </c>
    </row>
    <row r="16" spans="1:5">
      <c r="D16" s="17"/>
      <c r="E16" s="18"/>
    </row>
  </sheetData>
  <conditionalFormatting sqref="A10:A15">
    <cfRule type="cellIs" dxfId="14" priority="1" operator="equal">
      <formula>"                Business insights"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summary</vt:lpstr>
      <vt:lpstr>Dashboard</vt:lpstr>
      <vt:lpstr>Employeesalarydata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SUBHANI</dc:creator>
  <cp:lastModifiedBy>SHAIK SUBHANI</cp:lastModifiedBy>
  <cp:lastPrinted>2026-08-08T15:13:55Z</cp:lastPrinted>
  <dcterms:created xsi:type="dcterms:W3CDTF">2026-08-08T09:05:54Z</dcterms:created>
  <dcterms:modified xsi:type="dcterms:W3CDTF">2026-08-10T20:03:23Z</dcterms:modified>
</cp:coreProperties>
</file>